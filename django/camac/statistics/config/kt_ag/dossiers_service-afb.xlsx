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templates\"/>
    </mc:Choice>
  </mc:AlternateContent>
  <xr:revisionPtr revIDLastSave="0" documentId="13_ncr:1_{0578BF0D-7ED9-424D-A1FC-2B96F4CD8B5A}" xr6:coauthVersionLast="47" xr6:coauthVersionMax="47" xr10:uidLastSave="{00000000-0000-0000-0000-000000000000}"/>
  <bookViews>
    <workbookView xWindow="-120" yWindow="-120" windowWidth="31755" windowHeight="16770" xr2:uid="{00000000-000D-0000-FFFF-FFFF00000000}"/>
  </bookViews>
  <sheets>
    <sheet name="Data" sheetId="1" r:id="rId1"/>
    <sheet name="Durchlaufzeit" sheetId="2" r:id="rId2"/>
    <sheet name="Projektleiter - Anzahl" sheetId="4" r:id="rId3"/>
    <sheet name="Projektleiter - ⌀ Durchlaufzeit" sheetId="5" r:id="rId4"/>
    <sheet name="Projektleiter - Fristgerecht" sheetId="6" r:id="rId5"/>
    <sheet name="Projektleiter und Gesuchstyp" sheetId="7" r:id="rId6"/>
    <sheet name="Gemeinde und Gesuchstyp" sheetId="8" r:id="rId7"/>
  </sheets>
  <calcPr calcId="191029"/>
  <pivotCaches>
    <pivotCache cacheId="3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7" i="2" l="1"/>
  <c r="C6" i="2" l="1"/>
  <c r="C5" i="2"/>
  <c r="C4" i="2"/>
</calcChain>
</file>

<file path=xl/sharedStrings.xml><?xml version="1.0" encoding="utf-8"?>
<sst xmlns="http://schemas.openxmlformats.org/spreadsheetml/2006/main" count="52" uniqueCount="25">
  <si>
    <t>Dossier-Nr.</t>
  </si>
  <si>
    <t>Gesuchstyp</t>
  </si>
  <si>
    <t>Parzellen</t>
  </si>
  <si>
    <t>Eingabedatum</t>
  </si>
  <si>
    <t>Zuständig</t>
  </si>
  <si>
    <t>Gemeinde</t>
  </si>
  <si>
    <t>Durchlaufzeit</t>
  </si>
  <si>
    <t>Eingegangen</t>
  </si>
  <si>
    <t>Abgeschlossen</t>
  </si>
  <si>
    <t>Fristgerecht</t>
  </si>
  <si>
    <t>Anzahl abgeschlossener Dossiers nach Durchlaufzeit</t>
  </si>
  <si>
    <t>Dauer</t>
  </si>
  <si>
    <t>Anzahl</t>
  </si>
  <si>
    <t>&lt;= 30 Tage</t>
  </si>
  <si>
    <t>31 - 60 Tage</t>
  </si>
  <si>
    <t>&gt; 60 Tage</t>
  </si>
  <si>
    <t>Gesamt</t>
  </si>
  <si>
    <t>Pivot-Tabelle per Rechtsklick -&gt; "Aktualisieren" neu laden</t>
  </si>
  <si>
    <t>Anzahl von Dossier-Nr.</t>
  </si>
  <si>
    <t>Spaltenbeschriftungen</t>
  </si>
  <si>
    <t>Zeilenbeschriftungen</t>
  </si>
  <si>
    <t>(Leer)</t>
  </si>
  <si>
    <t>Gesamtergebnis</t>
  </si>
  <si>
    <t>Mittelwert von Durchlaufzeit</t>
  </si>
  <si>
    <t>Anteil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</si>
</sst>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12" fillId="8" borderId="0"/>
    <xf numFmtId="0" fontId="3" fillId="0" borderId="0"/>
    <xf numFmtId="0" fontId="4" fillId="2" borderId="0"/>
    <xf numFmtId="0" fontId="4" fillId="3" borderId="0"/>
    <xf numFmtId="0" fontId="3" fillId="4" borderId="0"/>
    <xf numFmtId="0" fontId="5" fillId="5" borderId="0"/>
    <xf numFmtId="0" fontId="2" fillId="0" borderId="0"/>
    <xf numFmtId="0" fontId="4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4" fillId="0" borderId="0"/>
    <xf numFmtId="0" fontId="2" fillId="0" borderId="0"/>
    <xf numFmtId="0" fontId="2" fillId="0" borderId="0"/>
    <xf numFmtId="0" fontId="5" fillId="0" borderId="0"/>
  </cellStyleXfs>
  <cellXfs count="20">
    <xf numFmtId="0" fontId="0" fillId="0" borderId="0" xfId="0"/>
    <xf numFmtId="0" fontId="15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2" fontId="0" fillId="0" borderId="0" xfId="0" applyNumberFormat="1"/>
    <xf numFmtId="10" fontId="0" fillId="0" borderId="0" xfId="0" applyNumberFormat="1"/>
    <xf numFmtId="0" fontId="17" fillId="0" borderId="0" xfId="0" applyFont="1"/>
    <xf numFmtId="0" fontId="0" fillId="0" borderId="0" xfId="0" applyNumberFormat="1"/>
    <xf numFmtId="14" fontId="0" fillId="0" borderId="0" xfId="0" applyNumberFormat="1"/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</cellXfs>
  <cellStyles count="21">
    <cellStyle name="Accent" xfId="3" xr:uid="{00000000-0005-0000-0000-000003000000}"/>
    <cellStyle name="Accent 1" xfId="4" xr:uid="{00000000-0005-0000-0000-000004000000}"/>
    <cellStyle name="Accent 2" xfId="5" xr:uid="{00000000-0005-0000-0000-000005000000}"/>
    <cellStyle name="Accent 3" xfId="6" xr:uid="{00000000-0005-0000-0000-000006000000}"/>
    <cellStyle name="Bad" xfId="7" xr:uid="{00000000-0005-0000-0000-000007000000}"/>
    <cellStyle name="Default" xfId="8" xr:uid="{00000000-0005-0000-0000-000008000000}"/>
    <cellStyle name="Error" xfId="9" xr:uid="{00000000-0005-0000-0000-000009000000}"/>
    <cellStyle name="Footnote" xfId="10" xr:uid="{00000000-0005-0000-0000-00000A000000}"/>
    <cellStyle name="Good" xfId="11" xr:uid="{00000000-0005-0000-0000-00000B000000}"/>
    <cellStyle name="Heading" xfId="12" xr:uid="{00000000-0005-0000-0000-00000C000000}"/>
    <cellStyle name="Heading 1" xfId="13" xr:uid="{00000000-0005-0000-0000-00000D000000}"/>
    <cellStyle name="Heading 2" xfId="14" xr:uid="{00000000-0005-0000-0000-00000E000000}"/>
    <cellStyle name="Hyperlink" xfId="15" xr:uid="{00000000-0005-0000-0000-00000F000000}"/>
    <cellStyle name="Neutral 2" xfId="2" xr:uid="{00000000-0005-0000-0000-000002000000}"/>
    <cellStyle name="Note" xfId="16" xr:uid="{00000000-0005-0000-0000-000010000000}"/>
    <cellStyle name="Result" xfId="17" xr:uid="{00000000-0005-0000-0000-000011000000}"/>
    <cellStyle name="Standard" xfId="0" builtinId="0"/>
    <cellStyle name="Standard 2" xfId="1" xr:uid="{00000000-0005-0000-0000-00000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6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toppe Tilo  Extern" refreshedDate="46111.666776851853" createdVersion="8" refreshedVersion="8" minRefreshableVersion="3" recordCount="20" xr:uid="{00000000-000A-0000-FFFF-FFFF50000000}">
  <cacheSource type="worksheet">
    <worksheetSource ref="A1:J1048576" sheet="Data"/>
  </cacheSource>
  <cacheFields count="10">
    <cacheField name="Dossier-Nr." numFmtId="0">
      <sharedItems containsNonDate="0" containsString="0" containsBlank="1"/>
    </cacheField>
    <cacheField name="Gesuchstyp" numFmtId="0">
      <sharedItems containsNonDate="0" containsBlank="1" count="7">
        <m/>
        <s v="Baugesuch" u="1"/>
        <s v="Anfrage" u="1"/>
        <s v="PGV" u="1"/>
        <s v="Baugesuch mit UVP" u="1"/>
        <s v="Anfrage intern" u="1"/>
        <s v="Baugesuch Migration" u="1"/>
      </sharedItems>
    </cacheField>
    <cacheField name="Parzellen" numFmtId="0">
      <sharedItems containsNonDate="0" containsString="0" containsBlank="1"/>
    </cacheField>
    <cacheField name="Eingabedatum" numFmtId="0">
      <sharedItems containsNonDate="0" containsString="0" containsBlank="1"/>
    </cacheField>
    <cacheField name="Zuständig" numFmtId="0">
      <sharedItems containsNonDate="0" containsBlank="1" count="12">
        <m/>
        <s v="Max Mustermann" u="1"/>
        <s v="Peter Müller" u="1"/>
        <s v="Peter" u="1"/>
        <s v="Jochen" u="1"/>
        <s v="Gerd" u="1"/>
        <s v="S. Schmidt" u="1"/>
        <s v="M. Müller" u="1"/>
        <s v="B. Brunner" u="1"/>
        <s v="K. Keller" u="1"/>
        <s v="W. Weber" u="1"/>
        <s v="F. Fischer" u="1"/>
      </sharedItems>
    </cacheField>
    <cacheField name="Gemeinde" numFmtId="0">
      <sharedItems containsNonDate="0" containsBlank="1" count="8">
        <m/>
        <s v="Aarburg" u="1"/>
        <s v="Abtwil" u="1"/>
        <s v="Baden" u="1"/>
        <s v="Brugg" u="1"/>
        <s v="Lenzburg" u="1"/>
        <s v="Zofingen" u="1"/>
        <s v="Dietwil" u="1"/>
      </sharedItems>
    </cacheField>
    <cacheField name="Durchlaufzeit" numFmtId="0">
      <sharedItems containsNonDate="0" containsString="0" containsBlank="1"/>
    </cacheField>
    <cacheField name="Eingegangen" numFmtId="0">
      <sharedItems containsNonDate="0" containsString="0" containsBlank="1"/>
    </cacheField>
    <cacheField name="Abgeschlossen" numFmtId="0">
      <sharedItems containsNonDate="0" containsString="0" containsBlank="1"/>
    </cacheField>
    <cacheField name="Fristgerecht" numFmtId="0">
      <sharedItems containsNonDate="0" containsString="0" containsBlank="1" containsNumber="1" containsInteger="1" minValue="0" maxValue="1" count="3">
        <m/>
        <n v="1" u="1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  <r>
    <m/>
    <x v="0"/>
    <m/>
    <m/>
    <x v="0"/>
    <x v="0"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3" cacheId="3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5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13">
        <item m="1" x="8"/>
        <item m="1" x="11"/>
        <item m="1" x="9"/>
        <item m="1" x="7"/>
        <item m="1" x="6"/>
        <item m="1" x="10"/>
        <item x="0"/>
        <item m="1" x="3"/>
        <item m="1" x="4"/>
        <item m="1" x="5"/>
        <item m="1" x="1"/>
        <item m="1"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2">
    <i>
      <x v="6"/>
    </i>
    <i t="grand">
      <x/>
    </i>
  </rowItems>
  <colItems count="1">
    <i/>
  </colItems>
  <dataFields count="1">
    <dataField name="Anzahl" fld="0" subtotal="count" baseField="4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3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5" firstHeaderRow="1" firstDataRow="1" firstDataCol="1"/>
  <pivotFields count="10">
    <pivotField showAll="0"/>
    <pivotField showAll="0"/>
    <pivotField showAll="0"/>
    <pivotField showAll="0"/>
    <pivotField axis="axisRow" showAll="0">
      <items count="13">
        <item m="1" x="8"/>
        <item m="1" x="11"/>
        <item m="1" x="9"/>
        <item m="1" x="7"/>
        <item m="1" x="6"/>
        <item m="1" x="10"/>
        <item x="0"/>
        <item m="1" x="3"/>
        <item m="1" x="4"/>
        <item m="1" x="5"/>
        <item m="1" x="1"/>
        <item m="1"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2">
    <i>
      <x v="6"/>
    </i>
    <i t="grand">
      <x/>
    </i>
  </rowItems>
  <colItems count="1">
    <i/>
  </colItems>
  <dataFields count="1">
    <dataField name="Mittelwert von Durchlaufzeit" fld="6" subtotal="average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2" cacheId="36" applyNumberFormats="0" applyBorderFormats="0" applyFontFormats="0" applyPatternFormats="0" applyAlignmentFormats="0" applyWidthHeightFormats="1" dataCaption="Werte" updatedVersion="8" minRefreshableVersion="3" useAutoFormatting="1" colGrandTotals="0" itemPrintTitles="1" createdVersion="8" indent="0" outline="1" outlineData="1" multipleFieldFilters="0">
  <location ref="A3:C7" firstHeaderRow="1" firstDataRow="3" firstDataCol="1"/>
  <pivotFields count="10">
    <pivotField dataField="1" showAll="0"/>
    <pivotField showAll="0"/>
    <pivotField showAll="0"/>
    <pivotField showAll="0"/>
    <pivotField axis="axisRow" showAll="0">
      <items count="13">
        <item m="1" x="8"/>
        <item m="1" x="11"/>
        <item m="1" x="9"/>
        <item m="1" x="7"/>
        <item m="1" x="6"/>
        <item m="1" x="10"/>
        <item x="0"/>
        <item m="1" x="3"/>
        <item m="1" x="4"/>
        <item m="1" x="5"/>
        <item m="1" x="1"/>
        <item m="1" x="2"/>
        <item t="default"/>
      </items>
    </pivotField>
    <pivotField showAll="0"/>
    <pivotField showAll="0"/>
    <pivotField showAll="0"/>
    <pivotField showAll="0"/>
    <pivotField axis="axisCol" multipleItemSelectionAllowed="1" showAll="0">
      <items count="4">
        <item n="Nein" m="1" x="2"/>
        <item n="Ja" m="1" x="1"/>
        <item x="0"/>
        <item t="default"/>
      </items>
    </pivotField>
  </pivotFields>
  <rowFields count="1">
    <field x="4"/>
  </rowFields>
  <rowItems count="2">
    <i>
      <x v="6"/>
    </i>
    <i t="grand">
      <x/>
    </i>
  </rowItems>
  <colFields count="2">
    <field x="9"/>
    <field x="-2"/>
  </colFields>
  <colItems count="2">
    <i>
      <x v="2"/>
      <x/>
    </i>
    <i r="1" i="1">
      <x v="1"/>
    </i>
  </colItems>
  <dataFields count="2">
    <dataField name="Anzahl" fld="0" subtotal="count" baseField="0" baseItem="0"/>
    <dataField name="Anteil" fld="0" subtotal="count" showDataAs="percentOfRow" baseField="0" baseItem="0" numFmtId="10"/>
  </dataFields>
  <formats count="3">
    <format dxfId="5">
      <pivotArea dataOnly="0" labelOnly="1" fieldPosition="0">
        <references count="1">
          <reference field="9" count="2">
            <x v="0"/>
            <x v="1"/>
          </reference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0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4" cacheId="3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C6" firstHeaderRow="1" firstDataRow="2" firstDataCol="1"/>
  <pivotFields count="10">
    <pivotField dataField="1" showAll="0"/>
    <pivotField axis="axisCol" showAll="0">
      <items count="8">
        <item m="1" x="2"/>
        <item m="1" x="5"/>
        <item m="1" x="1"/>
        <item m="1" x="6"/>
        <item m="1" x="4"/>
        <item x="0"/>
        <item m="1" x="3"/>
        <item t="default"/>
      </items>
    </pivotField>
    <pivotField showAll="0"/>
    <pivotField showAll="0"/>
    <pivotField axis="axisRow" showAll="0">
      <items count="13">
        <item m="1" x="8"/>
        <item m="1" x="11"/>
        <item m="1" x="9"/>
        <item m="1" x="7"/>
        <item m="1" x="6"/>
        <item m="1" x="10"/>
        <item x="0"/>
        <item m="1" x="3"/>
        <item m="1" x="4"/>
        <item m="1" x="5"/>
        <item m="1" x="1"/>
        <item m="1"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2">
    <i>
      <x v="6"/>
    </i>
    <i t="grand">
      <x/>
    </i>
  </rowItems>
  <colFields count="1">
    <field x="1"/>
  </colFields>
  <colItems count="2">
    <i>
      <x v="5"/>
    </i>
    <i t="grand">
      <x/>
    </i>
  </colItems>
  <dataFields count="1">
    <dataField name="Anzahl von Dossier-Nr.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5" cacheId="3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C6" firstHeaderRow="1" firstDataRow="2" firstDataCol="1"/>
  <pivotFields count="10">
    <pivotField dataField="1" showAll="0"/>
    <pivotField axis="axisCol" showAll="0">
      <items count="8">
        <item m="1" x="2"/>
        <item m="1" x="5"/>
        <item m="1" x="1"/>
        <item m="1" x="6"/>
        <item m="1" x="4"/>
        <item x="0"/>
        <item m="1" x="3"/>
        <item t="default"/>
      </items>
    </pivotField>
    <pivotField showAll="0"/>
    <pivotField showAll="0"/>
    <pivotField showAll="0"/>
    <pivotField axis="axisRow" showAll="0">
      <items count="9">
        <item m="1" x="1"/>
        <item m="1" x="2"/>
        <item m="1" x="3"/>
        <item m="1" x="4"/>
        <item m="1" x="7"/>
        <item m="1" x="5"/>
        <item m="1" x="6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2">
    <i>
      <x v="7"/>
    </i>
    <i t="grand">
      <x/>
    </i>
  </rowItems>
  <colFields count="1">
    <field x="1"/>
  </colFields>
  <colItems count="2">
    <i>
      <x v="5"/>
    </i>
    <i t="grand">
      <x/>
    </i>
  </colItems>
  <dataFields count="1">
    <dataField name="Anzahl von Dossier-Nr.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2" sqref="A2"/>
    </sheetView>
  </sheetViews>
  <sheetFormatPr baseColWidth="10" defaultColWidth="9.140625" defaultRowHeight="15"/>
  <cols>
    <col min="1" max="1" width="13" customWidth="1"/>
    <col min="2" max="2" width="12" customWidth="1"/>
    <col min="3" max="3" width="11" customWidth="1"/>
    <col min="4" max="4" width="14" customWidth="1"/>
    <col min="5" max="5" width="11" customWidth="1"/>
    <col min="6" max="6" width="10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>
      <c r="D2" s="16"/>
      <c r="H2" s="16"/>
      <c r="I2" s="16"/>
    </row>
    <row r="3" spans="1:10">
      <c r="D3" s="16"/>
      <c r="H3" s="16"/>
      <c r="I3" s="16"/>
    </row>
    <row r="4" spans="1:10">
      <c r="D4" s="16"/>
      <c r="H4" s="16"/>
      <c r="I4" s="16"/>
    </row>
    <row r="5" spans="1:10">
      <c r="D5" s="16"/>
      <c r="H5" s="16"/>
      <c r="I5" s="16"/>
    </row>
    <row r="6" spans="1:10">
      <c r="D6" s="16"/>
      <c r="H6" s="16"/>
      <c r="I6" s="16"/>
    </row>
    <row r="7" spans="1:10">
      <c r="D7" s="16"/>
      <c r="H7" s="16"/>
      <c r="I7" s="16"/>
    </row>
    <row r="8" spans="1:10">
      <c r="D8" s="16"/>
      <c r="H8" s="16"/>
      <c r="I8" s="16"/>
    </row>
    <row r="9" spans="1:10">
      <c r="D9" s="16"/>
      <c r="H9" s="16"/>
      <c r="I9" s="16"/>
    </row>
    <row r="10" spans="1:10">
      <c r="D10" s="16"/>
      <c r="H10" s="16"/>
      <c r="I10" s="16"/>
    </row>
    <row r="11" spans="1:10">
      <c r="D11" s="16"/>
      <c r="H11" s="16"/>
      <c r="I11" s="16"/>
    </row>
    <row r="12" spans="1:10">
      <c r="D12" s="16"/>
      <c r="H12" s="16"/>
      <c r="I12" s="16"/>
    </row>
    <row r="13" spans="1:10">
      <c r="D13" s="16"/>
      <c r="H13" s="16"/>
      <c r="I13" s="16"/>
    </row>
    <row r="14" spans="1:10">
      <c r="D14" s="16"/>
      <c r="H14" s="16"/>
      <c r="I14" s="16"/>
    </row>
    <row r="15" spans="1:10">
      <c r="D15" s="16"/>
      <c r="H15" s="16"/>
      <c r="I15" s="16"/>
    </row>
    <row r="16" spans="1:10">
      <c r="D16" s="16"/>
      <c r="H16" s="16"/>
      <c r="I16" s="16"/>
    </row>
    <row r="17" spans="4:9">
      <c r="D17" s="16"/>
      <c r="H17" s="16"/>
      <c r="I17" s="16"/>
    </row>
    <row r="18" spans="4:9">
      <c r="D18" s="16"/>
      <c r="H18" s="16"/>
      <c r="I18" s="16"/>
    </row>
    <row r="19" spans="4:9">
      <c r="D19" s="16"/>
      <c r="H19" s="16"/>
      <c r="I19" s="16"/>
    </row>
    <row r="20" spans="4:9">
      <c r="D20" s="16"/>
      <c r="H20" s="16"/>
      <c r="I20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baseColWidth="10" defaultRowHeight="15"/>
  <sheetData>
    <row r="1" spans="1:3" ht="18.75" customHeight="1">
      <c r="A1" s="1" t="s">
        <v>10</v>
      </c>
    </row>
    <row r="3" spans="1:3">
      <c r="A3" s="2" t="s">
        <v>11</v>
      </c>
      <c r="B3" s="8" t="s">
        <v>12</v>
      </c>
      <c r="C3" s="8" t="s">
        <v>24</v>
      </c>
    </row>
    <row r="4" spans="1:3">
      <c r="A4" s="4" t="s">
        <v>13</v>
      </c>
      <c r="B4" s="5">
        <f>COUNTIF(Data!G:G,"&lt;=30")</f>
        <v>0</v>
      </c>
      <c r="C4" s="17" t="e">
        <f>COUNTIF(Data!G:G,"&lt;=30") / B7</f>
        <v>#DIV/0!</v>
      </c>
    </row>
    <row r="5" spans="1:3">
      <c r="A5" t="s">
        <v>14</v>
      </c>
      <c r="B5" s="6">
        <f>COUNTIFS(Data!G:G,"&gt;30",Data!G:G,"&lt;=60")</f>
        <v>0</v>
      </c>
      <c r="C5" s="18" t="e">
        <f>COUNTIFS(Data!G:G,"&gt;30",Data!G:G,"&lt;=60") / B7</f>
        <v>#DIV/0!</v>
      </c>
    </row>
    <row r="6" spans="1:3">
      <c r="A6" s="3" t="s">
        <v>15</v>
      </c>
      <c r="B6" s="7">
        <f>COUNTIF(Data!G:G,"&gt;60")</f>
        <v>0</v>
      </c>
      <c r="C6" s="19" t="e">
        <f>COUNTIF(Data!G:G,"&gt;60") / B7</f>
        <v>#DIV/0!</v>
      </c>
    </row>
    <row r="7" spans="1:3">
      <c r="A7" s="2" t="s">
        <v>16</v>
      </c>
      <c r="B7" s="8">
        <f>SUM(B4:B6)</f>
        <v>0</v>
      </c>
      <c r="C7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5" sqref="A5"/>
    </sheetView>
  </sheetViews>
  <sheetFormatPr baseColWidth="10" defaultRowHeight="15"/>
  <cols>
    <col min="1" max="1" width="22.42578125" bestFit="1" customWidth="1"/>
    <col min="2" max="2" width="7" bestFit="1" customWidth="1"/>
  </cols>
  <sheetData>
    <row r="1" spans="1:2">
      <c r="A1" s="11" t="s">
        <v>17</v>
      </c>
    </row>
    <row r="3" spans="1:2">
      <c r="A3" s="9" t="s">
        <v>20</v>
      </c>
      <c r="B3" t="s">
        <v>12</v>
      </c>
    </row>
    <row r="4" spans="1:2">
      <c r="A4" s="10" t="s">
        <v>21</v>
      </c>
      <c r="B4" s="15"/>
    </row>
    <row r="5" spans="1:2">
      <c r="A5" s="10" t="s">
        <v>22</v>
      </c>
      <c r="B5" s="15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K22" sqref="K22"/>
    </sheetView>
  </sheetViews>
  <sheetFormatPr baseColWidth="10" defaultRowHeight="15"/>
  <cols>
    <col min="1" max="1" width="22.42578125" bestFit="1" customWidth="1"/>
    <col min="2" max="2" width="27.140625" bestFit="1" customWidth="1"/>
  </cols>
  <sheetData>
    <row r="1" spans="1:2">
      <c r="A1" s="11" t="s">
        <v>17</v>
      </c>
    </row>
    <row r="3" spans="1:2">
      <c r="A3" s="9" t="s">
        <v>20</v>
      </c>
      <c r="B3" t="s">
        <v>23</v>
      </c>
    </row>
    <row r="4" spans="1:2">
      <c r="A4" s="10" t="s">
        <v>21</v>
      </c>
      <c r="B4" s="12"/>
    </row>
    <row r="5" spans="1:2">
      <c r="A5" s="10" t="s">
        <v>22</v>
      </c>
      <c r="B5" s="12"/>
    </row>
  </sheetData>
  <pageMargins left="0.7" right="0.7" top="0.78740157499999996" bottom="0.78740157499999996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baseColWidth="10" defaultRowHeight="15"/>
  <cols>
    <col min="1" max="1" width="22.42578125" bestFit="1" customWidth="1"/>
    <col min="2" max="2" width="23.7109375" bestFit="1" customWidth="1"/>
    <col min="3" max="3" width="7.7109375" bestFit="1" customWidth="1"/>
    <col min="4" max="4" width="7" bestFit="1" customWidth="1"/>
    <col min="5" max="5" width="7.7109375" bestFit="1" customWidth="1"/>
    <col min="6" max="6" width="7" bestFit="1" customWidth="1"/>
    <col min="7" max="7" width="7.7109375" bestFit="1" customWidth="1"/>
    <col min="8" max="8" width="29.42578125" bestFit="1" customWidth="1"/>
    <col min="9" max="9" width="30.42578125" bestFit="1" customWidth="1"/>
  </cols>
  <sheetData>
    <row r="1" spans="1:3">
      <c r="A1" s="11" t="s">
        <v>17</v>
      </c>
    </row>
    <row r="3" spans="1:3">
      <c r="B3" s="9" t="s">
        <v>19</v>
      </c>
    </row>
    <row r="4" spans="1:3">
      <c r="B4" t="s">
        <v>21</v>
      </c>
    </row>
    <row r="5" spans="1:3">
      <c r="A5" s="9" t="s">
        <v>20</v>
      </c>
      <c r="B5" t="s">
        <v>12</v>
      </c>
      <c r="C5" t="s">
        <v>24</v>
      </c>
    </row>
    <row r="6" spans="1:3">
      <c r="A6" s="10" t="s">
        <v>21</v>
      </c>
      <c r="B6" s="15"/>
      <c r="C6" s="13" t="e">
        <v>#DIV/0!</v>
      </c>
    </row>
    <row r="7" spans="1:3">
      <c r="A7" s="10" t="s">
        <v>22</v>
      </c>
      <c r="B7" s="15"/>
      <c r="C7" s="13" t="e">
        <v>#DIV/0!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K37" sqref="K37"/>
    </sheetView>
  </sheetViews>
  <sheetFormatPr baseColWidth="10" defaultRowHeight="15"/>
  <cols>
    <col min="1" max="1" width="22.42578125" bestFit="1" customWidth="1"/>
    <col min="2" max="2" width="23.7109375" bestFit="1" customWidth="1"/>
    <col min="3" max="3" width="15.5703125" bestFit="1" customWidth="1"/>
    <col min="4" max="4" width="6.28515625" bestFit="1" customWidth="1"/>
    <col min="5" max="5" width="4.85546875" bestFit="1" customWidth="1"/>
    <col min="6" max="6" width="15.5703125" bestFit="1" customWidth="1"/>
    <col min="7" max="7" width="10.140625" bestFit="1" customWidth="1"/>
    <col min="8" max="9" width="15.5703125" bestFit="1" customWidth="1"/>
  </cols>
  <sheetData>
    <row r="1" spans="1:3">
      <c r="A1" s="11" t="s">
        <v>17</v>
      </c>
    </row>
    <row r="3" spans="1:3">
      <c r="A3" s="9" t="s">
        <v>18</v>
      </c>
      <c r="B3" s="9" t="s">
        <v>19</v>
      </c>
    </row>
    <row r="4" spans="1:3">
      <c r="A4" s="9" t="s">
        <v>20</v>
      </c>
      <c r="B4" t="s">
        <v>21</v>
      </c>
      <c r="C4" t="s">
        <v>22</v>
      </c>
    </row>
    <row r="5" spans="1:3">
      <c r="A5" s="10" t="s">
        <v>21</v>
      </c>
      <c r="B5" s="15"/>
      <c r="C5" s="15"/>
    </row>
    <row r="6" spans="1:3">
      <c r="A6" s="10" t="s">
        <v>22</v>
      </c>
      <c r="B6" s="15"/>
      <c r="C6" s="15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RowHeight="15"/>
  <cols>
    <col min="1" max="1" width="22.42578125" bestFit="1" customWidth="1"/>
    <col min="2" max="2" width="23.7109375" bestFit="1" customWidth="1"/>
    <col min="3" max="3" width="15.5703125" bestFit="1" customWidth="1"/>
    <col min="4" max="4" width="6.28515625" bestFit="1" customWidth="1"/>
    <col min="5" max="5" width="4.85546875" bestFit="1" customWidth="1"/>
    <col min="6" max="8" width="15.5703125" bestFit="1" customWidth="1"/>
    <col min="9" max="9" width="10.42578125" bestFit="1" customWidth="1"/>
    <col min="10" max="10" width="19.7109375" bestFit="1" customWidth="1"/>
    <col min="11" max="11" width="18.28515625" bestFit="1" customWidth="1"/>
    <col min="12" max="12" width="14.85546875" bestFit="1" customWidth="1"/>
    <col min="13" max="13" width="8.42578125" bestFit="1" customWidth="1"/>
    <col min="14" max="14" width="13.85546875" bestFit="1" customWidth="1"/>
    <col min="15" max="15" width="19.7109375" bestFit="1" customWidth="1"/>
    <col min="16" max="16" width="18.28515625" bestFit="1" customWidth="1"/>
    <col min="17" max="17" width="14.5703125" bestFit="1" customWidth="1"/>
    <col min="18" max="18" width="8" bestFit="1" customWidth="1"/>
    <col min="19" max="19" width="10.42578125" bestFit="1" customWidth="1"/>
    <col min="20" max="20" width="19.7109375" bestFit="1" customWidth="1"/>
    <col min="21" max="21" width="18.28515625" bestFit="1" customWidth="1"/>
    <col min="22" max="22" width="14" bestFit="1" customWidth="1"/>
    <col min="23" max="23" width="9.28515625" bestFit="1" customWidth="1"/>
    <col min="24" max="24" width="10.42578125" bestFit="1" customWidth="1"/>
    <col min="25" max="25" width="18.28515625" bestFit="1" customWidth="1"/>
    <col min="26" max="26" width="15.42578125" bestFit="1" customWidth="1"/>
    <col min="27" max="27" width="10.85546875" bestFit="1" customWidth="1"/>
    <col min="28" max="28" width="13.85546875" bestFit="1" customWidth="1"/>
    <col min="29" max="29" width="10.42578125" bestFit="1" customWidth="1"/>
    <col min="30" max="30" width="19.7109375" bestFit="1" customWidth="1"/>
    <col min="31" max="31" width="18.28515625" bestFit="1" customWidth="1"/>
    <col min="32" max="32" width="17.140625" bestFit="1" customWidth="1"/>
    <col min="33" max="33" width="13.85546875" bestFit="1" customWidth="1"/>
    <col min="34" max="34" width="10.42578125" bestFit="1" customWidth="1"/>
    <col min="35" max="35" width="18.28515625" bestFit="1" customWidth="1"/>
    <col min="36" max="36" width="17" bestFit="1" customWidth="1"/>
    <col min="37" max="37" width="8.140625" bestFit="1" customWidth="1"/>
    <col min="38" max="38" width="14.28515625" bestFit="1" customWidth="1"/>
    <col min="39" max="39" width="15.5703125" bestFit="1" customWidth="1"/>
  </cols>
  <sheetData>
    <row r="1" spans="1:3">
      <c r="A1" s="11" t="s">
        <v>17</v>
      </c>
    </row>
    <row r="3" spans="1:3">
      <c r="A3" s="9" t="s">
        <v>18</v>
      </c>
      <c r="B3" s="9" t="s">
        <v>19</v>
      </c>
    </row>
    <row r="4" spans="1:3">
      <c r="A4" s="9" t="s">
        <v>20</v>
      </c>
      <c r="B4" t="s">
        <v>21</v>
      </c>
      <c r="C4" t="s">
        <v>22</v>
      </c>
    </row>
    <row r="5" spans="1:3">
      <c r="A5" s="10" t="s">
        <v>21</v>
      </c>
      <c r="B5" s="15"/>
      <c r="C5" s="15"/>
    </row>
    <row r="6" spans="1:3">
      <c r="A6" s="10" t="s">
        <v>22</v>
      </c>
      <c r="B6" s="15"/>
      <c r="C6" s="15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38f3b-cf1c-4dc8-b1c3-14677632393c">
      <Terms xmlns="http://schemas.microsoft.com/office/infopath/2007/PartnerControls"/>
    </lcf76f155ced4ddcb4097134ff3c332f>
    <TaxCatchAll xmlns="fb274a4b-4ecf-4ae2-a446-6654845504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FFFCF5F95BC94D9B7DF34B9D0CF76C" ma:contentTypeVersion="15" ma:contentTypeDescription="Ein neues Dokument erstellen." ma:contentTypeScope="" ma:versionID="a8184ac6384f947bbc55bc4d9e1749d1">
  <xsd:schema xmlns:xsd="http://www.w3.org/2001/XMLSchema" xmlns:xs="http://www.w3.org/2001/XMLSchema" xmlns:p="http://schemas.microsoft.com/office/2006/metadata/properties" xmlns:ns2="5e238f3b-cf1c-4dc8-b1c3-14677632393c" xmlns:ns3="a7360a35-2516-4210-888a-7cc8dd0a384d" xmlns:ns4="fb274a4b-4ecf-4ae2-a446-66548455045d" targetNamespace="http://schemas.microsoft.com/office/2006/metadata/properties" ma:root="true" ma:fieldsID="6dc33f40212c2dffa236803017f7661f" ns2:_="" ns3:_="" ns4:_="">
    <xsd:import namespace="5e238f3b-cf1c-4dc8-b1c3-14677632393c"/>
    <xsd:import namespace="a7360a35-2516-4210-888a-7cc8dd0a384d"/>
    <xsd:import namespace="fb274a4b-4ecf-4ae2-a446-665484550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38f3b-cf1c-4dc8-b1c3-146776323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f00866c-6a33-43e9-b037-ec069e8c9a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60a35-2516-4210-888a-7cc8dd0a3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74a4b-4ecf-4ae2-a446-66548455045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dd15247-1074-41ad-90b9-577bde987bc6}" ma:internalName="TaxCatchAll" ma:showField="CatchAllData" ma:web="fb274a4b-4ecf-4ae2-a446-665484550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A7AABA-E440-4E84-AE0E-63CC059A281B}">
  <ds:schemaRefs>
    <ds:schemaRef ds:uri="http://schemas.microsoft.com/office/2006/metadata/properties"/>
    <ds:schemaRef ds:uri="http://schemas.microsoft.com/office/infopath/2007/PartnerControls"/>
    <ds:schemaRef ds:uri="5e238f3b-cf1c-4dc8-b1c3-14677632393c"/>
    <ds:schemaRef ds:uri="fb274a4b-4ecf-4ae2-a446-66548455045d"/>
  </ds:schemaRefs>
</ds:datastoreItem>
</file>

<file path=customXml/itemProps2.xml><?xml version="1.0" encoding="utf-8"?>
<ds:datastoreItem xmlns:ds="http://schemas.openxmlformats.org/officeDocument/2006/customXml" ds:itemID="{CF6C39F8-99B7-40C5-A3B9-C604A6AA2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DBF618-8A70-4A9F-99AC-8D5F60EB2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38f3b-cf1c-4dc8-b1c3-14677632393c"/>
    <ds:schemaRef ds:uri="a7360a35-2516-4210-888a-7cc8dd0a384d"/>
    <ds:schemaRef ds:uri="fb274a4b-4ecf-4ae2-a446-6654845504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Data</vt:lpstr>
      <vt:lpstr>Durchlaufzeit</vt:lpstr>
      <vt:lpstr>Projektleiter - Anzahl</vt:lpstr>
      <vt:lpstr>Projektleiter - ⌀ Durchlaufzeit</vt:lpstr>
      <vt:lpstr>Projektleiter - Fristgerecht</vt:lpstr>
      <vt:lpstr>Projektleiter und Gesuchstyp</vt:lpstr>
      <vt:lpstr>Gemeinde und Gesuchstyp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Stoppe Tilo  Extern</dc:creator>
  <cp:lastModifiedBy>Stoppe Tilo  Extern</cp:lastModifiedBy>
  <dcterms:created xsi:type="dcterms:W3CDTF">2015-06-05T18:19:34Z</dcterms:created>
  <dcterms:modified xsi:type="dcterms:W3CDTF">2026-03-30T14:00:31Z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</Properties>
</file>