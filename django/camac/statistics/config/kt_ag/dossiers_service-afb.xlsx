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C0353095-DDBF-48F9-AC27-E2412DC0E425}" xr6:coauthVersionLast="47" xr6:coauthVersionMax="47" xr10:uidLastSave="{00000000-0000-0000-0000-000000000000}"/>
  <bookViews>
    <workbookView xWindow="-120" yWindow="-120" windowWidth="38640" windowHeight="20565" tabRatio="887" xr2:uid="{00000000-000D-0000-FFFF-FFFF00000000}"/>
  </bookViews>
  <sheets>
    <sheet name="Data" sheetId="1" r:id="rId1"/>
    <sheet name="Durchlaufzeit" sheetId="2" r:id="rId2"/>
    <sheet name="Projektleiter - Anzahl" sheetId="4" r:id="rId3"/>
    <sheet name="Projektleiter - ⌀ Durchlaufzeit" sheetId="5" r:id="rId4"/>
    <sheet name="Projektleiter - Fristgerecht" sheetId="6" r:id="rId5"/>
    <sheet name="Projektleiter und Gesuchstyp" sheetId="7" r:id="rId6"/>
    <sheet name="Gemeinde und Gesuchstyp" sheetId="8" r:id="rId7"/>
  </sheets>
  <calcPr calcId="191029"/>
  <pivotCaches>
    <pivotCache cacheId="4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7" i="2" l="1"/>
  <c r="C6" i="2" l="1"/>
  <c r="C5" i="2"/>
  <c r="C4" i="2"/>
</calcChain>
</file>

<file path=xl/sharedStrings.xml><?xml version="1.0" encoding="utf-8"?>
<sst xmlns="http://schemas.openxmlformats.org/spreadsheetml/2006/main" count="64" uniqueCount="34">
  <si>
    <t>Dossier-Nr.</t>
  </si>
  <si>
    <t>Gesuchstyp</t>
  </si>
  <si>
    <t>Parzellen</t>
  </si>
  <si>
    <t>Eingabedatum</t>
  </si>
  <si>
    <t>Zuständig</t>
  </si>
  <si>
    <t>Gemeinde</t>
  </si>
  <si>
    <t>Durchlaufzeit</t>
  </si>
  <si>
    <t>Eingegangen</t>
  </si>
  <si>
    <t>Abgeschlossen</t>
  </si>
  <si>
    <t>Fristgerecht</t>
  </si>
  <si>
    <t>Anzahl abgeschlossener Dossiers nach Durchlaufzeit</t>
  </si>
  <si>
    <t>Dauer</t>
  </si>
  <si>
    <t>&lt;= 30 Tage</t>
  </si>
  <si>
    <t>31 - 60 Tage</t>
  </si>
  <si>
    <t>&gt; 60 Tage</t>
  </si>
  <si>
    <t>Gesamt</t>
  </si>
  <si>
    <t>Pivot-Tabelle per Rechtsklick -&gt; "Aktualisieren" neu laden</t>
  </si>
  <si>
    <t>(Leer)</t>
  </si>
  <si>
    <t>Gesamtergebnis</t>
  </si>
  <si>
    <t>Anteil</t>
  </si>
  <si>
    <t>Anzahl Dossiers</t>
  </si>
  <si>
    <t>Zuständige Person</t>
  </si>
  <si>
    <t>Total Anzahl Dossiers</t>
  </si>
  <si>
    <t>Anzahl Dossier pro Zuständige Person</t>
  </si>
  <si>
    <t>Mittelwert von Durchlaufzeit in Tage</t>
  </si>
  <si>
    <t>Durchschnittliche Durchlaufzeit Dossiers pro Zuständige Person</t>
  </si>
  <si>
    <t>Dossiertyp</t>
  </si>
  <si>
    <t>Die Dossiertypen mit "-Migration" stammen aus dem alten System.</t>
  </si>
  <si>
    <t>Anzahl Dossiers nach Dossiertyp pro Zuständige Person</t>
  </si>
  <si>
    <t>Anzahl fristgerechte erledigte Dossiers pro Zuständige Person</t>
  </si>
  <si>
    <t>Frist erreicht</t>
  </si>
  <si>
    <t>Total</t>
  </si>
  <si>
    <t>Anteil Dossiers</t>
  </si>
  <si>
    <t>Anzhal Gesuche nach Dossiertyp pro Gemeinde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</si>
</sst>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1">
    <xf numFmtId="0" fontId="0" fillId="0" borderId="0"/>
    <xf numFmtId="0" fontId="2" fillId="0" borderId="0"/>
    <xf numFmtId="0" fontId="12" fillId="8" borderId="0"/>
    <xf numFmtId="0" fontId="3" fillId="0" borderId="0"/>
    <xf numFmtId="0" fontId="4" fillId="2" borderId="0"/>
    <xf numFmtId="0" fontId="4" fillId="3" borderId="0"/>
    <xf numFmtId="0" fontId="3" fillId="4" borderId="0"/>
    <xf numFmtId="0" fontId="5" fillId="5" borderId="0"/>
    <xf numFmtId="0" fontId="2" fillId="0" borderId="0"/>
    <xf numFmtId="0" fontId="4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3" fillId="8" borderId="1"/>
    <xf numFmtId="0" fontId="14" fillId="0" borderId="0"/>
    <xf numFmtId="0" fontId="2" fillId="0" borderId="0"/>
    <xf numFmtId="0" fontId="2" fillId="0" borderId="0"/>
    <xf numFmtId="0" fontId="5" fillId="0" borderId="0"/>
  </cellStyleXfs>
  <cellXfs count="21">
    <xf numFmtId="0" fontId="0" fillId="0" borderId="0" xfId="0"/>
    <xf numFmtId="0" fontId="15" fillId="0" borderId="0" xfId="0" applyFon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10" fontId="0" fillId="0" borderId="0" xfId="0" applyNumberFormat="1"/>
    <xf numFmtId="0" fontId="17" fillId="0" borderId="0" xfId="0" applyFont="1"/>
    <xf numFmtId="14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18" fillId="0" borderId="0" xfId="0" applyFont="1"/>
    <xf numFmtId="1" fontId="0" fillId="0" borderId="0" xfId="0" applyNumberFormat="1"/>
    <xf numFmtId="0" fontId="0" fillId="0" borderId="0" xfId="0" applyNumberFormat="1"/>
  </cellXfs>
  <cellStyles count="21">
    <cellStyle name="Accent" xfId="3" xr:uid="{00000000-0005-0000-0000-000003000000}"/>
    <cellStyle name="Accent 1" xfId="4" xr:uid="{00000000-0005-0000-0000-000004000000}"/>
    <cellStyle name="Accent 2" xfId="5" xr:uid="{00000000-0005-0000-0000-000005000000}"/>
    <cellStyle name="Accent 3" xfId="6" xr:uid="{00000000-0005-0000-0000-000006000000}"/>
    <cellStyle name="Bad" xfId="7" xr:uid="{00000000-0005-0000-0000-000007000000}"/>
    <cellStyle name="Default" xfId="8" xr:uid="{00000000-0005-0000-0000-000008000000}"/>
    <cellStyle name="Error" xfId="9" xr:uid="{00000000-0005-0000-0000-000009000000}"/>
    <cellStyle name="Footnote" xfId="10" xr:uid="{00000000-0005-0000-0000-00000A000000}"/>
    <cellStyle name="Good" xfId="11" xr:uid="{00000000-0005-0000-0000-00000B000000}"/>
    <cellStyle name="Heading" xfId="12" xr:uid="{00000000-0005-0000-0000-00000C000000}"/>
    <cellStyle name="Heading 1" xfId="13" xr:uid="{00000000-0005-0000-0000-00000D000000}"/>
    <cellStyle name="Heading 2" xfId="14" xr:uid="{00000000-0005-0000-0000-00000E000000}"/>
    <cellStyle name="Hyperlink" xfId="15" xr:uid="{00000000-0005-0000-0000-00000F000000}"/>
    <cellStyle name="Neutral 2" xfId="2" xr:uid="{00000000-0005-0000-0000-000002000000}"/>
    <cellStyle name="Note" xfId="16" xr:uid="{00000000-0005-0000-0000-000010000000}"/>
    <cellStyle name="Result" xfId="17" xr:uid="{00000000-0005-0000-0000-000011000000}"/>
    <cellStyle name="Standard" xfId="0" builtinId="0"/>
    <cellStyle name="Standard 2" xfId="1" xr:uid="{00000000-0005-0000-0000-000001000000}"/>
    <cellStyle name="Status" xfId="18" xr:uid="{00000000-0005-0000-0000-000012000000}"/>
    <cellStyle name="Text" xfId="19" xr:uid="{00000000-0005-0000-0000-000013000000}"/>
    <cellStyle name="Warning" xfId="20" xr:uid="{00000000-0005-0000-0000-000014000000}"/>
  </cellStyles>
  <dxfs count="4"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21.734699884262" missingItemsLimit="0" createdVersion="8" refreshedVersion="8" minRefreshableVersion="3" recordCount="20" xr:uid="{00000000-000A-0000-FFFF-FFFF50000000}">
  <cacheSource type="worksheet">
    <worksheetSource ref="A1:J1048576" sheet="Data"/>
  </cacheSource>
  <cacheFields count="10">
    <cacheField name="Dossier-Nr." numFmtId="0">
      <sharedItems containsNonDate="0" containsString="0" containsBlank="1"/>
    </cacheField>
    <cacheField name="Gesuchstyp" numFmtId="0">
      <sharedItems containsNonDate="0" containsString="0" containsBlank="1" count="1">
        <m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 count="1">
        <m/>
      </sharedItems>
    </cacheField>
    <cacheField name="Gemeinde" numFmtId="0">
      <sharedItems containsNonDate="0" containsString="0" containsBlank="1" count="1">
        <m/>
      </sharedItems>
    </cacheField>
    <cacheField name="Durchlaufzeit" numFmtId="0">
      <sharedItems containsNonDate="0" containsString="0" containsBlank="1"/>
    </cacheField>
    <cacheField name="Eingegangen" numFmtId="0">
      <sharedItems containsNonDate="0" containsString="0" containsBlank="1"/>
    </cacheField>
    <cacheField name="Abgeschlossen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3" cacheId="43" applyNumberFormats="0" applyBorderFormats="0" applyFontFormats="0" applyPatternFormats="0" applyAlignmentFormats="0" applyWidthHeightFormats="1" dataCaption="Werte" grandTotalCaption="Total Anzahl Dossiers" updatedVersion="8" minRefreshableVersion="3" useAutoFormatting="1" itemPrintTitles="1" createdVersion="8" indent="0" outline="1" outlineData="1" multipleFieldFilters="0" rowHeaderCaption="Zuständige Person">
  <location ref="A3:B5" firstHeaderRow="1" firstDataRow="1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Anzahl Dossiers" fld="0" subtotal="count" baseField="4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4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>
  <location ref="A3:B5" firstHeaderRow="1" firstDataRow="1" firstDataCol="1"/>
  <pivotFields count="10"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Mittelwert von Durchlaufzeit in Tage" fld="6" subtotal="average" baseField="0" baseItem="0" numFmtId="1"/>
  </dataFields>
  <formats count="2">
    <format dxfId="3">
      <pivotArea collapsedLevelsAreSubtotals="1" fieldPosition="0">
        <references count="1">
          <reference field="4" count="0"/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56AD4D-9646-4CC1-84EE-A09565AD0DDF}" name="PivotTable1" cacheId="43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 erreicht">
  <location ref="G3:H6" firstHeaderRow="1" firstDataRow="2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Col" showAll="0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1">
    <i>
      <x/>
    </i>
  </colItems>
  <dataFields count="1">
    <dataField name="Anteil Dossiers" fld="0" subtotal="count" showDataAs="percentOfRow" baseField="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2" cacheId="43" applyNumberFormats="0" applyBorderFormats="0" applyFontFormats="0" applyPatternFormats="0" applyAlignmentFormats="0" applyWidthHeightFormats="1" dataCaption="Werte" grandTotalCaption="Total" updatedVersion="8" minRefreshableVersion="3" useAutoFormatting="1" itemPrintTitles="1" createdVersion="8" indent="0" outline="1" outlineData="1" multipleFieldFilters="0" rowHeaderCaption="Zuständige Person" colHeaderCaption="Frist erreicht">
  <location ref="A3:C6" firstHeaderRow="1" firstDataRow="2" firstDataCol="1"/>
  <pivotFields count="10">
    <pivotField dataField="1"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showAll="0"/>
    <pivotField showAll="0"/>
    <pivotField axis="axisCol" multipleItemSelectionAllowed="1" showAll="0" includeNewItemsInFilter="1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Anzahl Dossiers" fld="0" subtotal="count" baseField="4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ivotTable4" cacheId="4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Dossiertyp">
  <location ref="A3:C6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5000000}" name="PivotTable5" cacheId="4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Gemeinde" colHeaderCaption="Dossiertyp">
  <location ref="A3:C6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1">
    <field x="5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A2" sqref="A2"/>
    </sheetView>
  </sheetViews>
  <sheetFormatPr baseColWidth="10" defaultColWidth="9.140625" defaultRowHeight="1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15" customWidth="1"/>
    <col min="8" max="8" width="13" customWidth="1"/>
    <col min="9" max="9" width="15" customWidth="1"/>
    <col min="10" max="10" width="14" customWidth="1"/>
  </cols>
  <sheetData>
    <row r="1" spans="1:10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</row>
    <row r="2" spans="1:10">
      <c r="D2" s="14"/>
      <c r="H2" s="14"/>
      <c r="I2" s="14"/>
    </row>
    <row r="3" spans="1:10">
      <c r="D3" s="14"/>
      <c r="H3" s="14"/>
      <c r="I3" s="14"/>
    </row>
    <row r="4" spans="1:10">
      <c r="D4" s="14"/>
      <c r="H4" s="14"/>
      <c r="I4" s="14"/>
    </row>
    <row r="5" spans="1:10">
      <c r="D5" s="14"/>
      <c r="H5" s="14"/>
      <c r="I5" s="14"/>
    </row>
    <row r="6" spans="1:10">
      <c r="D6" s="14"/>
      <c r="H6" s="14"/>
      <c r="I6" s="14"/>
    </row>
    <row r="7" spans="1:10">
      <c r="D7" s="14"/>
      <c r="H7" s="14"/>
      <c r="I7" s="14"/>
    </row>
    <row r="8" spans="1:10">
      <c r="D8" s="14"/>
      <c r="H8" s="14"/>
      <c r="I8" s="14"/>
    </row>
    <row r="9" spans="1:10">
      <c r="D9" s="14"/>
      <c r="H9" s="14"/>
      <c r="I9" s="14"/>
    </row>
    <row r="10" spans="1:10">
      <c r="D10" s="14"/>
      <c r="H10" s="14"/>
      <c r="I10" s="14"/>
    </row>
    <row r="11" spans="1:10">
      <c r="D11" s="14"/>
      <c r="H11" s="14"/>
      <c r="I11" s="14"/>
    </row>
    <row r="12" spans="1:10">
      <c r="D12" s="14"/>
      <c r="H12" s="14"/>
      <c r="I12" s="14"/>
    </row>
    <row r="13" spans="1:10">
      <c r="D13" s="14"/>
      <c r="H13" s="14"/>
      <c r="I13" s="14"/>
    </row>
    <row r="14" spans="1:10">
      <c r="D14" s="14"/>
      <c r="H14" s="14"/>
      <c r="I14" s="14"/>
    </row>
    <row r="15" spans="1:10">
      <c r="D15" s="14"/>
      <c r="H15" s="14"/>
      <c r="I15" s="14"/>
    </row>
    <row r="16" spans="1:10">
      <c r="D16" s="14"/>
      <c r="H16" s="14"/>
      <c r="I16" s="14"/>
    </row>
    <row r="17" spans="4:9">
      <c r="D17" s="14"/>
      <c r="H17" s="14"/>
      <c r="I17" s="14"/>
    </row>
    <row r="18" spans="4:9">
      <c r="D18" s="14"/>
      <c r="H18" s="14"/>
      <c r="I18" s="14"/>
    </row>
    <row r="19" spans="4:9">
      <c r="D19" s="14"/>
      <c r="H19" s="14"/>
      <c r="I19" s="14"/>
    </row>
    <row r="20" spans="4:9">
      <c r="D20" s="14"/>
      <c r="H20" s="14"/>
      <c r="I20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E14" sqref="E14"/>
    </sheetView>
  </sheetViews>
  <sheetFormatPr baseColWidth="10" defaultRowHeight="15"/>
  <cols>
    <col min="2" max="2" width="17.42578125" customWidth="1"/>
  </cols>
  <sheetData>
    <row r="1" spans="1:3" ht="18.75" customHeight="1">
      <c r="A1" s="1" t="s">
        <v>10</v>
      </c>
    </row>
    <row r="3" spans="1:3">
      <c r="A3" s="2" t="s">
        <v>11</v>
      </c>
      <c r="B3" s="8" t="s">
        <v>20</v>
      </c>
      <c r="C3" s="8" t="s">
        <v>19</v>
      </c>
    </row>
    <row r="4" spans="1:3">
      <c r="A4" s="4" t="s">
        <v>12</v>
      </c>
      <c r="B4" s="5">
        <f>COUNTIF(Data!G:G,"&lt;=30")</f>
        <v>0</v>
      </c>
      <c r="C4" s="15" t="e">
        <f>COUNTIF(Data!G:G,"&lt;=30") / B7</f>
        <v>#DIV/0!</v>
      </c>
    </row>
    <row r="5" spans="1:3">
      <c r="A5" t="s">
        <v>13</v>
      </c>
      <c r="B5" s="6">
        <f>COUNTIFS(Data!G:G,"&gt;30",Data!G:G,"&lt;=60")</f>
        <v>0</v>
      </c>
      <c r="C5" s="16" t="e">
        <f>COUNTIFS(Data!G:G,"&gt;30",Data!G:G,"&lt;=60") / B7</f>
        <v>#DIV/0!</v>
      </c>
    </row>
    <row r="6" spans="1:3">
      <c r="A6" s="3" t="s">
        <v>14</v>
      </c>
      <c r="B6" s="7">
        <f>COUNTIF(Data!G:G,"&gt;60")</f>
        <v>0</v>
      </c>
      <c r="C6" s="17" t="e">
        <f>COUNTIF(Data!G:G,"&gt;60") / B7</f>
        <v>#DIV/0!</v>
      </c>
    </row>
    <row r="7" spans="1:3">
      <c r="A7" s="2" t="s">
        <v>15</v>
      </c>
      <c r="B7" s="8">
        <f>SUM(B4:B6)</f>
        <v>0</v>
      </c>
      <c r="C7" s="8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baseColWidth="10" defaultRowHeight="15"/>
  <cols>
    <col min="1" max="1" width="19.85546875" bestFit="1" customWidth="1"/>
    <col min="2" max="2" width="14.85546875" bestFit="1" customWidth="1"/>
  </cols>
  <sheetData>
    <row r="1" spans="1:5">
      <c r="A1" s="18" t="s">
        <v>23</v>
      </c>
      <c r="E1" s="11" t="s">
        <v>16</v>
      </c>
    </row>
    <row r="3" spans="1:5">
      <c r="A3" s="9" t="s">
        <v>21</v>
      </c>
      <c r="B3" t="s">
        <v>20</v>
      </c>
    </row>
    <row r="4" spans="1:5">
      <c r="A4" s="10" t="s">
        <v>17</v>
      </c>
      <c r="B4" s="20"/>
    </row>
    <row r="5" spans="1:5">
      <c r="A5" s="10" t="s">
        <v>22</v>
      </c>
      <c r="B5" s="20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activeCell="C12" sqref="C12"/>
    </sheetView>
  </sheetViews>
  <sheetFormatPr baseColWidth="10" defaultRowHeight="15"/>
  <cols>
    <col min="1" max="1" width="19.7109375" bestFit="1" customWidth="1"/>
    <col min="2" max="2" width="34" bestFit="1" customWidth="1"/>
  </cols>
  <sheetData>
    <row r="1" spans="1:5">
      <c r="A1" s="18" t="s">
        <v>25</v>
      </c>
      <c r="E1" s="11" t="s">
        <v>16</v>
      </c>
    </row>
    <row r="3" spans="1:5">
      <c r="A3" s="9" t="s">
        <v>21</v>
      </c>
      <c r="B3" t="s">
        <v>24</v>
      </c>
    </row>
    <row r="4" spans="1:5">
      <c r="A4" s="10" t="s">
        <v>17</v>
      </c>
      <c r="B4" s="19"/>
    </row>
    <row r="5" spans="1:5">
      <c r="A5" s="10" t="s">
        <v>18</v>
      </c>
      <c r="B5" s="19"/>
    </row>
  </sheetData>
  <pageMargins left="0.7" right="0.7" top="0.78740157499999996" bottom="0.78740157499999996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zoomScaleNormal="100" workbookViewId="0">
      <selection activeCell="G5" sqref="G5"/>
    </sheetView>
  </sheetViews>
  <sheetFormatPr baseColWidth="10" defaultRowHeight="15"/>
  <cols>
    <col min="1" max="1" width="19.7109375" bestFit="1" customWidth="1"/>
    <col min="2" max="2" width="14.5703125" bestFit="1" customWidth="1"/>
    <col min="3" max="4" width="5.42578125" bestFit="1" customWidth="1"/>
    <col min="5" max="5" width="7.140625" bestFit="1" customWidth="1"/>
    <col min="6" max="6" width="23" bestFit="1" customWidth="1"/>
    <col min="7" max="7" width="19.7109375" bestFit="1" customWidth="1"/>
    <col min="8" max="8" width="14.5703125" bestFit="1" customWidth="1"/>
    <col min="9" max="9" width="13.85546875" bestFit="1" customWidth="1"/>
    <col min="10" max="11" width="15.5703125" bestFit="1" customWidth="1"/>
    <col min="12" max="12" width="11.28515625" customWidth="1"/>
    <col min="13" max="13" width="16.5703125" customWidth="1"/>
    <col min="14" max="14" width="21.42578125" bestFit="1" customWidth="1"/>
    <col min="15" max="17" width="7.140625" bestFit="1" customWidth="1"/>
    <col min="18" max="18" width="29.28515625" bestFit="1" customWidth="1"/>
    <col min="19" max="19" width="35.7109375" bestFit="1" customWidth="1"/>
    <col min="20" max="33" width="23.5703125" bestFit="1" customWidth="1"/>
    <col min="34" max="35" width="28" bestFit="1" customWidth="1"/>
  </cols>
  <sheetData>
    <row r="1" spans="1:10">
      <c r="A1" s="18" t="s">
        <v>29</v>
      </c>
      <c r="J1" s="11" t="s">
        <v>16</v>
      </c>
    </row>
    <row r="3" spans="1:10">
      <c r="A3" s="9" t="s">
        <v>20</v>
      </c>
      <c r="B3" s="9" t="s">
        <v>30</v>
      </c>
      <c r="G3" s="9" t="s">
        <v>32</v>
      </c>
      <c r="H3" s="9" t="s">
        <v>30</v>
      </c>
    </row>
    <row r="4" spans="1:10">
      <c r="A4" s="9" t="s">
        <v>21</v>
      </c>
      <c r="B4" t="s">
        <v>17</v>
      </c>
      <c r="C4" t="s">
        <v>31</v>
      </c>
      <c r="G4" s="9" t="s">
        <v>21</v>
      </c>
      <c r="H4" t="s">
        <v>17</v>
      </c>
    </row>
    <row r="5" spans="1:10">
      <c r="A5" s="10" t="s">
        <v>17</v>
      </c>
      <c r="B5" s="20"/>
      <c r="C5" s="20"/>
      <c r="G5" s="10" t="s">
        <v>17</v>
      </c>
      <c r="H5" s="12" t="e">
        <v>#DIV/0!</v>
      </c>
    </row>
    <row r="6" spans="1:10">
      <c r="A6" s="10" t="s">
        <v>31</v>
      </c>
      <c r="B6" s="20"/>
      <c r="C6" s="20"/>
      <c r="G6" s="10" t="s">
        <v>18</v>
      </c>
      <c r="H6" s="12" t="e">
        <v>#DIV/0!</v>
      </c>
    </row>
  </sheetData>
  <pageMargins left="0.7" right="0.7" top="0.78740157499999996" bottom="0.78740157499999996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"/>
  <sheetViews>
    <sheetView workbookViewId="0">
      <selection activeCell="A5" sqref="A5"/>
    </sheetView>
  </sheetViews>
  <sheetFormatPr baseColWidth="10" defaultRowHeight="15"/>
  <cols>
    <col min="1" max="1" width="19.7109375" bestFit="1" customWidth="1"/>
    <col min="2" max="2" width="12.7109375" bestFit="1" customWidth="1"/>
    <col min="3" max="3" width="15.5703125" bestFit="1" customWidth="1"/>
    <col min="4" max="4" width="8" bestFit="1" customWidth="1"/>
    <col min="5" max="6" width="15.5703125" bestFit="1" customWidth="1"/>
    <col min="7" max="7" width="10.140625" bestFit="1" customWidth="1"/>
    <col min="8" max="9" width="15.5703125" bestFit="1" customWidth="1"/>
  </cols>
  <sheetData>
    <row r="1" spans="1:8" ht="19.5" customHeight="1">
      <c r="A1" s="18" t="s">
        <v>28</v>
      </c>
      <c r="H1" s="11" t="s">
        <v>27</v>
      </c>
    </row>
    <row r="2" spans="1:8">
      <c r="H2" s="11" t="s">
        <v>16</v>
      </c>
    </row>
    <row r="3" spans="1:8">
      <c r="A3" s="9" t="s">
        <v>20</v>
      </c>
      <c r="B3" s="9" t="s">
        <v>26</v>
      </c>
    </row>
    <row r="4" spans="1:8">
      <c r="A4" s="9" t="s">
        <v>21</v>
      </c>
      <c r="B4" t="s">
        <v>17</v>
      </c>
      <c r="C4" t="s">
        <v>18</v>
      </c>
    </row>
    <row r="5" spans="1:8">
      <c r="A5" s="10" t="s">
        <v>17</v>
      </c>
      <c r="B5" s="20"/>
      <c r="C5" s="20"/>
    </row>
    <row r="6" spans="1:8">
      <c r="A6" s="10" t="s">
        <v>18</v>
      </c>
      <c r="B6" s="20"/>
      <c r="C6" s="20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"/>
  <sheetViews>
    <sheetView workbookViewId="0">
      <selection activeCell="A2" sqref="A2"/>
    </sheetView>
  </sheetViews>
  <sheetFormatPr baseColWidth="10" defaultRowHeight="15"/>
  <cols>
    <col min="1" max="1" width="15.5703125" bestFit="1" customWidth="1"/>
    <col min="2" max="2" width="12.7109375" bestFit="1" customWidth="1"/>
    <col min="3" max="3" width="15.5703125" bestFit="1" customWidth="1"/>
    <col min="4" max="4" width="8" bestFit="1" customWidth="1"/>
    <col min="5" max="8" width="15.5703125" bestFit="1" customWidth="1"/>
    <col min="9" max="9" width="10.42578125" bestFit="1" customWidth="1"/>
    <col min="10" max="10" width="19.7109375" bestFit="1" customWidth="1"/>
    <col min="11" max="11" width="18.28515625" bestFit="1" customWidth="1"/>
    <col min="12" max="12" width="14.85546875" bestFit="1" customWidth="1"/>
    <col min="13" max="13" width="8.42578125" bestFit="1" customWidth="1"/>
    <col min="14" max="14" width="13.85546875" bestFit="1" customWidth="1"/>
    <col min="15" max="15" width="19.7109375" bestFit="1" customWidth="1"/>
    <col min="16" max="16" width="18.28515625" bestFit="1" customWidth="1"/>
    <col min="17" max="17" width="14.5703125" bestFit="1" customWidth="1"/>
    <col min="18" max="18" width="8" bestFit="1" customWidth="1"/>
    <col min="19" max="19" width="10.42578125" bestFit="1" customWidth="1"/>
    <col min="20" max="20" width="19.7109375" bestFit="1" customWidth="1"/>
    <col min="21" max="21" width="18.28515625" bestFit="1" customWidth="1"/>
    <col min="22" max="22" width="14" bestFit="1" customWidth="1"/>
    <col min="23" max="23" width="9.28515625" bestFit="1" customWidth="1"/>
    <col min="24" max="24" width="10.42578125" bestFit="1" customWidth="1"/>
    <col min="25" max="25" width="18.28515625" bestFit="1" customWidth="1"/>
    <col min="26" max="26" width="15.42578125" bestFit="1" customWidth="1"/>
    <col min="27" max="27" width="10.85546875" bestFit="1" customWidth="1"/>
    <col min="28" max="28" width="13.85546875" bestFit="1" customWidth="1"/>
    <col min="29" max="29" width="10.42578125" bestFit="1" customWidth="1"/>
    <col min="30" max="30" width="19.7109375" bestFit="1" customWidth="1"/>
    <col min="31" max="31" width="18.28515625" bestFit="1" customWidth="1"/>
    <col min="32" max="32" width="17.140625" bestFit="1" customWidth="1"/>
    <col min="33" max="33" width="13.85546875" bestFit="1" customWidth="1"/>
    <col min="34" max="34" width="10.42578125" bestFit="1" customWidth="1"/>
    <col min="35" max="35" width="18.28515625" bestFit="1" customWidth="1"/>
    <col min="36" max="36" width="17" bestFit="1" customWidth="1"/>
    <col min="37" max="37" width="8.140625" bestFit="1" customWidth="1"/>
    <col min="38" max="38" width="14.28515625" bestFit="1" customWidth="1"/>
    <col min="39" max="39" width="15.5703125" bestFit="1" customWidth="1"/>
  </cols>
  <sheetData>
    <row r="1" spans="1:8">
      <c r="A1" t="s">
        <v>33</v>
      </c>
      <c r="H1" s="11" t="s">
        <v>16</v>
      </c>
    </row>
    <row r="3" spans="1:8">
      <c r="A3" s="9" t="s">
        <v>20</v>
      </c>
      <c r="B3" s="9" t="s">
        <v>26</v>
      </c>
    </row>
    <row r="4" spans="1:8">
      <c r="A4" s="9" t="s">
        <v>5</v>
      </c>
      <c r="B4" t="s">
        <v>17</v>
      </c>
      <c r="C4" t="s">
        <v>18</v>
      </c>
    </row>
    <row r="5" spans="1:8">
      <c r="A5" s="10" t="s">
        <v>17</v>
      </c>
      <c r="B5" s="20"/>
      <c r="C5" s="20"/>
    </row>
    <row r="6" spans="1:8">
      <c r="A6" s="10" t="s">
        <v>18</v>
      </c>
      <c r="B6" s="20"/>
      <c r="C6" s="20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1A7AABA-E440-4E84-AE0E-63CC059A281B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2.xml><?xml version="1.0" encoding="utf-8"?>
<ds:datastoreItem xmlns:ds="http://schemas.openxmlformats.org/officeDocument/2006/customXml" ds:itemID="{CF6C39F8-99B7-40C5-A3B9-C604A6AA2C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4DBF618-8A70-4A9F-99AC-8D5F60EB2F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Durchlaufzeit</vt:lpstr>
      <vt:lpstr>Projektleiter - Anzahl</vt:lpstr>
      <vt:lpstr>Projektleiter - ⌀ Durchlaufzeit</vt:lpstr>
      <vt:lpstr>Projektleiter - Fristgerecht</vt:lpstr>
      <vt:lpstr>Projektleiter und Gesuchstyp</vt:lpstr>
      <vt:lpstr>Gemeinde und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2015-06-05T18:19:34Z</dcterms:created>
  <dcterms:modified xsi:type="dcterms:W3CDTF">2026-04-09T15:38:14Z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