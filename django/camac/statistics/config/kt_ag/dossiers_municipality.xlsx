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dev\templates\"/>
    </mc:Choice>
  </mc:AlternateContent>
  <xr:revisionPtr revIDLastSave="0" documentId="13_ncr:1_{CE5D048F-4086-4349-B39F-4BA2046CA4EA}" xr6:coauthVersionLast="47" xr6:coauthVersionMax="47" xr10:uidLastSave="{00000000-0000-0000-0000-000000000000}"/>
  <bookViews>
    <workbookView xWindow="-120" yWindow="-120" windowWidth="31755" windowHeight="16770" xr2:uid="{00000000-000D-0000-FFFF-FFFF00000000}"/>
  </bookViews>
  <sheets>
    <sheet name="Data" sheetId="1" r:id="rId1"/>
    <sheet name="Durchlaufzeit" sheetId="2" r:id="rId2"/>
    <sheet name="Anzahl nach Gesuchstyp" sheetId="4" r:id="rId3"/>
  </sheets>
  <calcPr calcId="191029"/>
  <pivotCaches>
    <pivotCache cacheId="13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2" l="1"/>
  <c r="B5" i="2"/>
  <c r="B4" i="2"/>
  <c r="B7" i="2" l="1"/>
  <c r="C6" i="2" l="1"/>
  <c r="C5" i="2"/>
  <c r="C4" i="2"/>
</calcChain>
</file>

<file path=xl/sharedStrings.xml><?xml version="1.0" encoding="utf-8"?>
<sst xmlns="http://schemas.openxmlformats.org/spreadsheetml/2006/main" count="20" uniqueCount="20">
  <si>
    <t>Dossier-Nr.</t>
  </si>
  <si>
    <t>Gesuchstyp</t>
  </si>
  <si>
    <t>Parzellen</t>
  </si>
  <si>
    <t>Eingabedatum</t>
  </si>
  <si>
    <t>Zuständig</t>
  </si>
  <si>
    <t>Gemeinde</t>
  </si>
  <si>
    <t>Durchlaufzeit</t>
  </si>
  <si>
    <t>Anzahl abgeschlossener Dossiers nach Durchlaufzeit</t>
  </si>
  <si>
    <t>Dauer</t>
  </si>
  <si>
    <t>Anzahl</t>
  </si>
  <si>
    <t>&lt;= 70 Tage</t>
  </si>
  <si>
    <t>71 - 100 Tage</t>
  </si>
  <si>
    <t>&gt; 100 Tage</t>
  </si>
  <si>
    <t>Gesamt</t>
  </si>
  <si>
    <t>Pivot-Tabelle per Rechtsklick -&gt; "Aktualisieren" neu laden</t>
  </si>
  <si>
    <t>Zeilenbeschriftungen</t>
  </si>
  <si>
    <t>Anzahl von Dossier-Nr.</t>
  </si>
  <si>
    <t>(Leer)</t>
  </si>
  <si>
    <t>Gesamtergebnis</t>
  </si>
  <si>
    <t>Anteil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</si>
</sst>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b/>
      <sz val="11"/>
      <name val="Aptos Narrow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0" fillId="0" borderId="2" xfId="0" applyBorder="1"/>
    <xf numFmtId="0" fontId="0" fillId="0" borderId="3" xfId="0" applyBorder="1"/>
    <xf numFmtId="0" fontId="0" fillId="0" borderId="1" xfId="0" applyBorder="1"/>
    <xf numFmtId="0" fontId="0" fillId="0" borderId="4" xfId="0" applyBorder="1"/>
    <xf numFmtId="0" fontId="0" fillId="0" borderId="5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0" xfId="0" applyFont="1"/>
    <xf numFmtId="0" fontId="4" fillId="0" borderId="0" xfId="0" applyFont="1"/>
    <xf numFmtId="164" fontId="0" fillId="0" borderId="0" xfId="0" applyNumberFormat="1"/>
    <xf numFmtId="0" fontId="0" fillId="0" borderId="0" xfId="0" applyNumberFormat="1"/>
    <xf numFmtId="10" fontId="0" fillId="0" borderId="3" xfId="0" applyNumberFormat="1" applyBorder="1"/>
    <xf numFmtId="10" fontId="0" fillId="0" borderId="1" xfId="0" applyNumberFormat="1" applyBorder="1"/>
    <xf numFmtId="10" fontId="0" fillId="0" borderId="5" xfId="0" applyNumberFormat="1" applyBorder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Stoppe Tilo  Extern" refreshedDate="46111.659267476854" createdVersion="8" refreshedVersion="8" minRefreshableVersion="3" recordCount="8" xr:uid="{7F2E8BCB-6429-4F29-B162-7F5B0E97F404}">
  <cacheSource type="worksheet">
    <worksheetSource ref="A1:G1048576" sheet="Data"/>
  </cacheSource>
  <cacheFields count="7">
    <cacheField name="Dossier-Nr." numFmtId="0">
      <sharedItems containsNonDate="0" containsString="0" containsBlank="1"/>
    </cacheField>
    <cacheField name="Gesuchstyp" numFmtId="0">
      <sharedItems containsNonDate="0" containsBlank="1" count="2">
        <m/>
        <s v="Anfrage" u="1"/>
      </sharedItems>
    </cacheField>
    <cacheField name="Parzellen" numFmtId="0">
      <sharedItems containsNonDate="0" containsString="0" containsBlank="1"/>
    </cacheField>
    <cacheField name="Eingabedatum" numFmtId="0">
      <sharedItems containsNonDate="0" containsString="0" containsBlank="1"/>
    </cacheField>
    <cacheField name="Zuständig" numFmtId="0">
      <sharedItems containsNonDate="0" containsString="0" containsBlank="1"/>
    </cacheField>
    <cacheField name="Gemeinde" numFmtId="0">
      <sharedItems containsNonDate="0" containsString="0" containsBlank="1"/>
    </cacheField>
    <cacheField name="Durchlaufzei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  <r>
    <m/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DA4FBB-689F-4687-8A8A-191B1E09B9C1}" name="PivotTable1" cacheId="13" applyNumberFormats="0" applyBorderFormats="0" applyFontFormats="0" applyPatternFormats="0" applyAlignmentFormats="0" applyWidthHeightFormats="1" dataCaption="Werte" updatedVersion="8" minRefreshableVersion="3" useAutoFormatting="1" itemPrintTitles="1" createdVersion="8" indent="0" outline="1" outlineData="1" multipleFieldFilters="0">
  <location ref="A3:B5" firstHeaderRow="1" firstDataRow="1" firstDataCol="1"/>
  <pivotFields count="7">
    <pivotField dataField="1" showAll="0"/>
    <pivotField axis="axisRow" showAll="0">
      <items count="3">
        <item m="1" x="1"/>
        <item x="0"/>
        <item t="default"/>
      </items>
    </pivotField>
    <pivotField showAll="0"/>
    <pivotField showAll="0"/>
    <pivotField showAll="0"/>
    <pivotField showAll="0"/>
    <pivotField showAll="0"/>
  </pivotFields>
  <rowFields count="1">
    <field x="1"/>
  </rowFields>
  <rowItems count="2">
    <i>
      <x v="1"/>
    </i>
    <i t="grand">
      <x/>
    </i>
  </rowItems>
  <colItems count="1">
    <i/>
  </colItems>
  <dataFields count="1">
    <dataField name="Anzahl von Dossier-Nr.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"/>
  <sheetViews>
    <sheetView tabSelected="1" workbookViewId="0">
      <selection activeCell="A3" sqref="A3"/>
    </sheetView>
  </sheetViews>
  <sheetFormatPr baseColWidth="10" defaultColWidth="9.140625" defaultRowHeight="15" x14ac:dyDescent="0.25"/>
  <cols>
    <col min="1" max="1" width="13" customWidth="1"/>
    <col min="2" max="2" width="12" customWidth="1"/>
    <col min="3" max="3" width="11" customWidth="1"/>
    <col min="4" max="4" width="14" customWidth="1"/>
    <col min="5" max="5" width="19.140625" customWidth="1"/>
    <col min="6" max="6" width="10" customWidth="1"/>
    <col min="7" max="7" width="15" customWidth="1"/>
  </cols>
  <sheetData>
    <row r="1" spans="1:7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</row>
    <row r="2" spans="1:7" x14ac:dyDescent="0.25">
      <c r="D2" s="13"/>
    </row>
    <row r="3" spans="1:7" x14ac:dyDescent="0.25">
      <c r="D3" s="13"/>
    </row>
    <row r="4" spans="1:7" x14ac:dyDescent="0.25">
      <c r="D4" s="13"/>
    </row>
    <row r="5" spans="1:7" x14ac:dyDescent="0.25">
      <c r="D5" s="13"/>
    </row>
    <row r="6" spans="1:7" x14ac:dyDescent="0.25">
      <c r="D6" s="13"/>
    </row>
    <row r="7" spans="1:7" x14ac:dyDescent="0.25">
      <c r="D7" s="13"/>
    </row>
    <row r="8" spans="1:7" x14ac:dyDescent="0.25">
      <c r="D8" s="13"/>
    </row>
    <row r="9" spans="1:7" x14ac:dyDescent="0.25">
      <c r="D9" s="13"/>
    </row>
    <row r="10" spans="1:7" x14ac:dyDescent="0.25">
      <c r="D10" s="13"/>
    </row>
    <row r="11" spans="1:7" x14ac:dyDescent="0.25">
      <c r="D11" s="13"/>
    </row>
    <row r="12" spans="1:7" x14ac:dyDescent="0.25">
      <c r="D12" s="13"/>
    </row>
    <row r="13" spans="1:7" x14ac:dyDescent="0.25">
      <c r="D13" s="13"/>
    </row>
    <row r="14" spans="1:7" x14ac:dyDescent="0.25">
      <c r="D14" s="13"/>
    </row>
    <row r="15" spans="1:7" x14ac:dyDescent="0.25">
      <c r="D15" s="13"/>
    </row>
    <row r="16" spans="1:7" x14ac:dyDescent="0.25">
      <c r="D16" s="13"/>
    </row>
  </sheetData>
  <phoneticPr fontId="5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I23" sqref="I23"/>
    </sheetView>
  </sheetViews>
  <sheetFormatPr baseColWidth="10" defaultRowHeight="15" x14ac:dyDescent="0.25"/>
  <cols>
    <col min="1" max="1" width="14" customWidth="1"/>
  </cols>
  <sheetData>
    <row r="1" spans="1:3" ht="18.75" customHeight="1" x14ac:dyDescent="0.3">
      <c r="A1" s="1" t="s">
        <v>7</v>
      </c>
    </row>
    <row r="3" spans="1:3" x14ac:dyDescent="0.25">
      <c r="A3" s="2" t="s">
        <v>8</v>
      </c>
      <c r="B3" s="3" t="s">
        <v>9</v>
      </c>
      <c r="C3" s="3" t="s">
        <v>19</v>
      </c>
    </row>
    <row r="4" spans="1:3" x14ac:dyDescent="0.25">
      <c r="A4" s="4" t="s">
        <v>10</v>
      </c>
      <c r="B4" s="5">
        <f>COUNTIF(Data!G:G,"&lt;=70")</f>
        <v>0</v>
      </c>
      <c r="C4" s="15" t="e">
        <f>COUNTIF(Data!G:G,"&lt;=70") / $B$7</f>
        <v>#DIV/0!</v>
      </c>
    </row>
    <row r="5" spans="1:3" x14ac:dyDescent="0.25">
      <c r="A5" t="s">
        <v>11</v>
      </c>
      <c r="B5" s="6">
        <f>COUNTIFS(Data!G:G,"&gt;70",Data!G:G,"&lt;=100")</f>
        <v>0</v>
      </c>
      <c r="C5" s="16" t="e">
        <f>COUNTIFS(Data!G:G,"&gt;70",Data!G:G,"&lt;=100") / $B$7</f>
        <v>#DIV/0!</v>
      </c>
    </row>
    <row r="6" spans="1:3" x14ac:dyDescent="0.25">
      <c r="A6" s="7" t="s">
        <v>12</v>
      </c>
      <c r="B6" s="8">
        <f>COUNTIF(Data!G:G,"&gt;100")</f>
        <v>0</v>
      </c>
      <c r="C6" s="17" t="e">
        <f>COUNTIF(Data!G:G,"&gt;100") / $B$7</f>
        <v>#DIV/0!</v>
      </c>
    </row>
    <row r="7" spans="1:3" x14ac:dyDescent="0.25">
      <c r="A7" s="2" t="s">
        <v>13</v>
      </c>
      <c r="B7" s="3">
        <f>SUM(B4:B6)</f>
        <v>0</v>
      </c>
      <c r="C7" s="3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9E224-DB63-4B75-BDE8-A0B093978349}">
  <dimension ref="A1:B5"/>
  <sheetViews>
    <sheetView workbookViewId="0">
      <selection activeCell="B15" sqref="B15"/>
    </sheetView>
  </sheetViews>
  <sheetFormatPr baseColWidth="10" defaultRowHeight="15" x14ac:dyDescent="0.25"/>
  <cols>
    <col min="1" max="1" width="22.7109375" bestFit="1" customWidth="1"/>
    <col min="2" max="2" width="21.7109375" bestFit="1" customWidth="1"/>
  </cols>
  <sheetData>
    <row r="1" spans="1:2" x14ac:dyDescent="0.25">
      <c r="A1" s="11" t="s">
        <v>14</v>
      </c>
    </row>
    <row r="3" spans="1:2" x14ac:dyDescent="0.25">
      <c r="A3" s="9" t="s">
        <v>15</v>
      </c>
      <c r="B3" t="s">
        <v>16</v>
      </c>
    </row>
    <row r="4" spans="1:2" x14ac:dyDescent="0.25">
      <c r="A4" s="10" t="s">
        <v>17</v>
      </c>
      <c r="B4" s="14"/>
    </row>
    <row r="5" spans="1:2" x14ac:dyDescent="0.25">
      <c r="A5" s="10" t="s">
        <v>18</v>
      </c>
      <c r="B5" s="14"/>
    </row>
  </sheetData>
  <pageMargins left="0.7" right="0.7" top="0.78740157499999996" bottom="0.78740157499999996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e238f3b-cf1c-4dc8-b1c3-14677632393c">
      <Terms xmlns="http://schemas.microsoft.com/office/infopath/2007/PartnerControls"/>
    </lcf76f155ced4ddcb4097134ff3c332f>
    <TaxCatchAll xmlns="fb274a4b-4ecf-4ae2-a446-66548455045d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7FFFCF5F95BC94D9B7DF34B9D0CF76C" ma:contentTypeVersion="15" ma:contentTypeDescription="Ein neues Dokument erstellen." ma:contentTypeScope="" ma:versionID="a8184ac6384f947bbc55bc4d9e1749d1">
  <xsd:schema xmlns:xsd="http://www.w3.org/2001/XMLSchema" xmlns:xs="http://www.w3.org/2001/XMLSchema" xmlns:p="http://schemas.microsoft.com/office/2006/metadata/properties" xmlns:ns2="5e238f3b-cf1c-4dc8-b1c3-14677632393c" xmlns:ns3="a7360a35-2516-4210-888a-7cc8dd0a384d" xmlns:ns4="fb274a4b-4ecf-4ae2-a446-66548455045d" targetNamespace="http://schemas.microsoft.com/office/2006/metadata/properties" ma:root="true" ma:fieldsID="6dc33f40212c2dffa236803017f7661f" ns2:_="" ns3:_="" ns4:_="">
    <xsd:import namespace="5e238f3b-cf1c-4dc8-b1c3-14677632393c"/>
    <xsd:import namespace="a7360a35-2516-4210-888a-7cc8dd0a384d"/>
    <xsd:import namespace="fb274a4b-4ecf-4ae2-a446-66548455045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e238f3b-cf1c-4dc8-b1c3-14677632393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Bildmarkierungen" ma:readOnly="false" ma:fieldId="{5cf76f15-5ced-4ddc-b409-7134ff3c332f}" ma:taxonomyMulti="true" ma:sspId="7f00866c-6a33-43e9-b037-ec069e8c9ad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7360a35-2516-4210-888a-7cc8dd0a384d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Freigegeben für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Freigegeben für -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274a4b-4ecf-4ae2-a446-66548455045d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edd15247-1074-41ad-90b9-577bde987bc6}" ma:internalName="TaxCatchAll" ma:showField="CatchAllData" ma:web="fb274a4b-4ecf-4ae2-a446-66548455045d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1358810-D270-4430-A211-3ABFE193427A}">
  <ds:schemaRefs>
    <ds:schemaRef ds:uri="http://schemas.microsoft.com/office/2006/metadata/properties"/>
    <ds:schemaRef ds:uri="http://schemas.microsoft.com/office/infopath/2007/PartnerControls"/>
    <ds:schemaRef ds:uri="5e238f3b-cf1c-4dc8-b1c3-14677632393c"/>
    <ds:schemaRef ds:uri="fb274a4b-4ecf-4ae2-a446-66548455045d"/>
  </ds:schemaRefs>
</ds:datastoreItem>
</file>

<file path=customXml/itemProps2.xml><?xml version="1.0" encoding="utf-8"?>
<ds:datastoreItem xmlns:ds="http://schemas.openxmlformats.org/officeDocument/2006/customXml" ds:itemID="{16F88CF8-4776-46E4-AB0C-41B3C8FC9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8C8B08-FCC0-41BA-BCBB-BC205106FB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e238f3b-cf1c-4dc8-b1c3-14677632393c"/>
    <ds:schemaRef ds:uri="a7360a35-2516-4210-888a-7cc8dd0a384d"/>
    <ds:schemaRef ds:uri="fb274a4b-4ecf-4ae2-a446-66548455045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Data</vt:lpstr>
      <vt:lpstr>Durchlaufzeit</vt:lpstr>
      <vt:lpstr>Anzahl nach Gesuchstyp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Stoppe Tilo  Extern</dc:creator>
  <cp:lastModifiedBy>Stoppe Tilo  Extern</cp:lastModifiedBy>
  <dcterms:created xsi:type="dcterms:W3CDTF">2026-03-17T09:55:37Z</dcterms:created>
  <dcterms:modified xsi:type="dcterms:W3CDTF">2026-03-30T13:51:23Z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0x010100D7FFFCF5F95BC94D9B7DF34B9D0CF76C</vt:lpwstr>
  </property>
</Properties>
</file>